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892a12f65e171249/Desktop/Manufacturing_SPC/docs/"/>
    </mc:Choice>
  </mc:AlternateContent>
  <xr:revisionPtr revIDLastSave="2" documentId="11_9C5B619C546E909F656C64F554D5167C65DF977D" xr6:coauthVersionLast="47" xr6:coauthVersionMax="47" xr10:uidLastSave="{FFE1B87B-8E87-4229-8E27-AC46E7437F0A}"/>
  <bookViews>
    <workbookView xWindow="-110" yWindow="-110" windowWidth="19420" windowHeight="11020" xr2:uid="{00000000-000D-0000-FFFF-FFFF00000000}"/>
  </bookViews>
  <sheets>
    <sheet name="Scorecar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2" i="1" l="1"/>
  <c r="B22" i="1"/>
  <c r="C21" i="1"/>
  <c r="B21" i="1"/>
  <c r="C20" i="1"/>
  <c r="B20" i="1"/>
  <c r="C19" i="1"/>
  <c r="B19" i="1"/>
  <c r="F22" i="1" l="1"/>
  <c r="D22" i="1"/>
  <c r="F21" i="1"/>
  <c r="D21" i="1"/>
  <c r="F20" i="1"/>
  <c r="D20" i="1"/>
  <c r="F19" i="1"/>
  <c r="D19" i="1"/>
</calcChain>
</file>

<file path=xl/sharedStrings.xml><?xml version="1.0" encoding="utf-8"?>
<sst xmlns="http://schemas.openxmlformats.org/spreadsheetml/2006/main" count="100" uniqueCount="64">
  <si>
    <t>SUPPLIER QUALITY AUDIT SCORECARD — H-Acid Manufacturing Project</t>
  </si>
  <si>
    <t>Audit Periods: Q1-2023 (Baseline) vs Q4-2023 (Post-Corrective-Action)  |  All data is SYNTHETIC for portfolio demonstration</t>
  </si>
  <si>
    <t>Supplier
ID</t>
  </si>
  <si>
    <t>Material
Supplied</t>
  </si>
  <si>
    <t>Audit
Period</t>
  </si>
  <si>
    <t>Incoming
Purity %</t>
  </si>
  <si>
    <t>OTD %</t>
  </si>
  <si>
    <t>Noncon-
formances</t>
  </si>
  <si>
    <t>Lead Time
(days)</t>
  </si>
  <si>
    <t>Audit Score
(/100)</t>
  </si>
  <si>
    <t>Grade</t>
  </si>
  <si>
    <t>Key Finding</t>
  </si>
  <si>
    <t>Action Status</t>
  </si>
  <si>
    <t>Supplier A</t>
  </si>
  <si>
    <t>Naphthalene</t>
  </si>
  <si>
    <t>Q1-2023</t>
  </si>
  <si>
    <t>C</t>
  </si>
  <si>
    <t>Purity marginal; OTD inconsistent</t>
  </si>
  <si>
    <t>Corrective Action Issued</t>
  </si>
  <si>
    <t>Supplier B</t>
  </si>
  <si>
    <t>Oleum</t>
  </si>
  <si>
    <t>Low purity lots received Feb-2023</t>
  </si>
  <si>
    <t>Supplier C</t>
  </si>
  <si>
    <t>Caustic Soda</t>
  </si>
  <si>
    <t>Two nonconformances (concentration)</t>
  </si>
  <si>
    <t>Monitoring</t>
  </si>
  <si>
    <t>Supplier D</t>
  </si>
  <si>
    <t>Iron Scrap</t>
  </si>
  <si>
    <t>D</t>
  </si>
  <si>
    <t>ROOT CAUSE: linked to Iron_ppm drift B0351-B0430; 5 nonconformances</t>
  </si>
  <si>
    <t>Corrective Action Issued — CRITICAL</t>
  </si>
  <si>
    <t>Supplier E</t>
  </si>
  <si>
    <t>Nitric Acid</t>
  </si>
  <si>
    <t>Acceptable baseline; minor OTD misses</t>
  </si>
  <si>
    <t>Supplier F</t>
  </si>
  <si>
    <t>Similar to Supplier A; purity borderline</t>
  </si>
  <si>
    <t>Q4-2023</t>
  </si>
  <si>
    <t>B</t>
  </si>
  <si>
    <t>Purity +3.9pp; OTD +14pp; 1 minor NCR</t>
  </si>
  <si>
    <t>CLOSED</t>
  </si>
  <si>
    <t>Significant improvement post CA</t>
  </si>
  <si>
    <t>A</t>
  </si>
  <si>
    <t>Zero nonconformances; OTD +14pp</t>
  </si>
  <si>
    <t>CLOSED — Top Performer</t>
  </si>
  <si>
    <t>Purity +4.2pp; OTD +15pp; 2 residual NCR (minor)</t>
  </si>
  <si>
    <t>CLOSED — Monitored</t>
  </si>
  <si>
    <t>Best-in-class; zero NCR</t>
  </si>
  <si>
    <t>CLOSED — Preferred Supplier</t>
  </si>
  <si>
    <t>Strong improvement; OTD +13pp</t>
  </si>
  <si>
    <t>IMPROVEMENT SUMMARY  (After Q4-2023 vs Before Q1-2023 Averages)</t>
  </si>
  <si>
    <t>Metric</t>
  </si>
  <si>
    <t>Before Avg (Q1-2023)</t>
  </si>
  <si>
    <t>After Avg (Q4-2023)</t>
  </si>
  <si>
    <t>Delta</t>
  </si>
  <si>
    <t>Resume Claim</t>
  </si>
  <si>
    <t>Achieved?</t>
  </si>
  <si>
    <t>Incoming Purity %</t>
  </si>
  <si>
    <t>+10% material quality</t>
  </si>
  <si>
    <t>On-Time Delivery %</t>
  </si>
  <si>
    <t>+15% OTD</t>
  </si>
  <si>
    <t>Avg Nonconformances</t>
  </si>
  <si>
    <t>Reduction</t>
  </si>
  <si>
    <t>Avg Audit Score</t>
  </si>
  <si>
    <t>Improvement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</si>
</sst>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\+0.0%;\-0.0%"/>
  </numFmts>
  <fonts count="10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i/>
      <sz val="9"/>
      <color rgb="FF7F7F7F"/>
      <name val="Calibri"/>
    </font>
    <font>
      <b/>
      <sz val="9"/>
      <color rgb="FFFFFFFF"/>
      <name val="Calibri"/>
    </font>
    <font>
      <b/>
      <sz val="9"/>
      <name val="Calibri"/>
    </font>
    <font>
      <sz val="9"/>
      <name val="Calibri"/>
    </font>
    <font>
      <b/>
      <sz val="9"/>
      <color rgb="FFC00000"/>
      <name val="Calibri"/>
    </font>
    <font>
      <b/>
      <sz val="10"/>
      <name val="Calibri"/>
    </font>
    <font>
      <sz val="9"/>
      <color rgb="FF375623"/>
      <name val="Calibri"/>
    </font>
    <font>
      <b/>
      <sz val="11"/>
      <color rgb="FFFFFFFF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D9E1F2"/>
      </patternFill>
    </fill>
    <fill>
      <patternFill patternType="solid">
        <fgColor rgb="FFFFFF00"/>
      </patternFill>
    </fill>
    <fill>
      <patternFill patternType="solid">
        <fgColor rgb="FFFFF2CC"/>
      </patternFill>
    </fill>
    <fill>
      <patternFill patternType="solid">
        <fgColor rgb="FFFF0000"/>
      </patternFill>
    </fill>
    <fill>
      <patternFill patternType="solid">
        <fgColor rgb="FF70AD47"/>
      </patternFill>
    </fill>
    <fill>
      <patternFill patternType="solid">
        <fgColor rgb="FF00B050"/>
      </patternFill>
    </fill>
    <fill>
      <patternFill patternType="solid">
        <fgColor rgb="FF375623"/>
      </patternFill>
    </fill>
  </fills>
  <borders count="2">
    <border>
      <left/>
      <right/>
      <top/>
      <bottom/>
      <diagonal/>
    </border>
    <border>
      <left style="thin">
        <color rgb="FF8EA9C1"/>
      </left>
      <right style="thin">
        <color rgb="FF8EA9C1"/>
      </right>
      <top style="thin">
        <color rgb="FF8EA9C1"/>
      </top>
      <bottom style="thin">
        <color rgb="FF8EA9C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0" fontId="6" fillId="4" borderId="1" xfId="0" applyFont="1" applyFill="1" applyBorder="1" applyAlignment="1">
      <alignment horizontal="center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0" fontId="6" fillId="6" borderId="1" xfId="0" applyFont="1" applyFill="1" applyBorder="1" applyAlignment="1">
      <alignment horizontal="center" vertical="center"/>
    </xf>
    <xf numFmtId="164" fontId="5" fillId="6" borderId="1" xfId="0" applyNumberFormat="1" applyFont="1" applyFill="1" applyBorder="1" applyAlignment="1">
      <alignment horizontal="right" vertical="center"/>
    </xf>
    <xf numFmtId="0" fontId="4" fillId="6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8" fillId="4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9" fillId="10" borderId="0" xfId="0" applyFont="1" applyFill="1" applyAlignment="1">
      <alignment horizontal="center"/>
    </xf>
  </cellXfs>
  <cellStyles count="1">
    <cellStyle name="Normal" xfId="0" builtinId="0"/>
  </cellStyles>
  <dxfs count="3">
    <dxf>
      <fill>
        <patternFill patternType="solid">
          <fgColor rgb="FFFF0000"/>
        </patternFill>
      </fill>
    </dxf>
    <dxf>
      <fill>
        <patternFill patternType="solid">
          <fgColor rgb="FFFFFF00"/>
        </patternFill>
      </fill>
    </dxf>
    <dxf>
      <fill>
        <patternFill patternType="solid">
          <fgColor rgb="FF00B05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2"/>
  <sheetViews>
    <sheetView tabSelected="1" workbookViewId="0">
      <selection activeCell="G27" sqref="G27"/>
    </sheetView>
  </sheetViews>
  <sheetFormatPr defaultRowHeight="14.5" x14ac:dyDescent="0.35"/>
  <cols>
    <col min="1" max="1" width="16.6328125" bestFit="1" customWidth="1"/>
    <col min="2" max="2" width="15.6328125" bestFit="1" customWidth="1"/>
    <col min="3" max="3" width="10.6328125" bestFit="1" customWidth="1"/>
    <col min="4" max="4" width="7.36328125" bestFit="1" customWidth="1"/>
    <col min="5" max="5" width="15.26953125" bestFit="1" customWidth="1"/>
    <col min="6" max="6" width="8.08984375" bestFit="1" customWidth="1"/>
    <col min="7" max="7" width="7.81640625" bestFit="1" customWidth="1"/>
    <col min="8" max="8" width="8.7265625" bestFit="1" customWidth="1"/>
    <col min="9" max="9" width="4.90625" bestFit="1" customWidth="1"/>
    <col min="10" max="10" width="35.08984375" bestFit="1" customWidth="1"/>
    <col min="11" max="11" width="15.453125" bestFit="1" customWidth="1"/>
  </cols>
  <sheetData>
    <row r="1" spans="1:11" ht="18.5" x14ac:dyDescent="0.35">
      <c r="A1" s="35" t="s">
        <v>0</v>
      </c>
      <c r="B1" s="34"/>
      <c r="C1" s="34"/>
      <c r="D1" s="34"/>
      <c r="E1" s="34"/>
      <c r="F1" s="34"/>
      <c r="G1" s="34"/>
      <c r="H1" s="34"/>
      <c r="I1" s="34"/>
      <c r="J1" s="34"/>
      <c r="K1" s="34"/>
    </row>
    <row r="2" spans="1:11" x14ac:dyDescent="0.35">
      <c r="A2" s="33" t="s">
        <v>1</v>
      </c>
      <c r="B2" s="34"/>
      <c r="C2" s="34"/>
      <c r="D2" s="34"/>
      <c r="E2" s="34"/>
      <c r="F2" s="34"/>
      <c r="G2" s="34"/>
      <c r="H2" s="34"/>
      <c r="I2" s="34"/>
      <c r="J2" s="34"/>
      <c r="K2" s="34"/>
    </row>
    <row r="3" spans="1:11" ht="24" x14ac:dyDescent="0.3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</row>
    <row r="4" spans="1:11" ht="24" x14ac:dyDescent="0.35">
      <c r="A4" s="2" t="s">
        <v>13</v>
      </c>
      <c r="B4" s="3" t="s">
        <v>14</v>
      </c>
      <c r="C4" s="4" t="s">
        <v>15</v>
      </c>
      <c r="D4" s="5">
        <v>0.93200000000000005</v>
      </c>
      <c r="E4" s="5">
        <v>0.77</v>
      </c>
      <c r="F4" s="6">
        <v>3</v>
      </c>
      <c r="G4" s="6">
        <v>12</v>
      </c>
      <c r="H4" s="7">
        <v>74</v>
      </c>
      <c r="I4" s="8" t="s">
        <v>16</v>
      </c>
      <c r="J4" s="9" t="s">
        <v>17</v>
      </c>
      <c r="K4" s="9" t="s">
        <v>18</v>
      </c>
    </row>
    <row r="5" spans="1:11" ht="24" x14ac:dyDescent="0.35">
      <c r="A5" s="10" t="s">
        <v>19</v>
      </c>
      <c r="B5" s="11" t="s">
        <v>20</v>
      </c>
      <c r="C5" s="12" t="s">
        <v>15</v>
      </c>
      <c r="D5" s="13">
        <v>0.92500000000000004</v>
      </c>
      <c r="E5" s="13">
        <v>0.79</v>
      </c>
      <c r="F5" s="14">
        <v>4</v>
      </c>
      <c r="G5" s="15">
        <v>8</v>
      </c>
      <c r="H5" s="14">
        <v>71</v>
      </c>
      <c r="I5" s="8" t="s">
        <v>16</v>
      </c>
      <c r="J5" s="16" t="s">
        <v>21</v>
      </c>
      <c r="K5" s="16" t="s">
        <v>18</v>
      </c>
    </row>
    <row r="6" spans="1:11" x14ac:dyDescent="0.35">
      <c r="A6" s="2" t="s">
        <v>22</v>
      </c>
      <c r="B6" s="3" t="s">
        <v>23</v>
      </c>
      <c r="C6" s="4" t="s">
        <v>15</v>
      </c>
      <c r="D6" s="5">
        <v>0.93799999999999994</v>
      </c>
      <c r="E6" s="5">
        <v>0.76</v>
      </c>
      <c r="F6" s="6">
        <v>2</v>
      </c>
      <c r="G6" s="6">
        <v>10</v>
      </c>
      <c r="H6" s="7">
        <v>76</v>
      </c>
      <c r="I6" s="8" t="s">
        <v>16</v>
      </c>
      <c r="J6" s="9" t="s">
        <v>24</v>
      </c>
      <c r="K6" s="9" t="s">
        <v>25</v>
      </c>
    </row>
    <row r="7" spans="1:11" ht="24" x14ac:dyDescent="0.35">
      <c r="A7" s="17" t="s">
        <v>26</v>
      </c>
      <c r="B7" s="18" t="s">
        <v>27</v>
      </c>
      <c r="C7" s="19" t="s">
        <v>15</v>
      </c>
      <c r="D7" s="20">
        <v>0.91</v>
      </c>
      <c r="E7" s="20">
        <v>0.74</v>
      </c>
      <c r="F7" s="21">
        <v>5</v>
      </c>
      <c r="G7" s="22">
        <v>14</v>
      </c>
      <c r="H7" s="21">
        <v>66</v>
      </c>
      <c r="I7" s="23" t="s">
        <v>28</v>
      </c>
      <c r="J7" s="24" t="s">
        <v>29</v>
      </c>
      <c r="K7" s="25" t="s">
        <v>30</v>
      </c>
    </row>
    <row r="8" spans="1:11" x14ac:dyDescent="0.35">
      <c r="A8" s="2" t="s">
        <v>31</v>
      </c>
      <c r="B8" s="3" t="s">
        <v>32</v>
      </c>
      <c r="C8" s="4" t="s">
        <v>15</v>
      </c>
      <c r="D8" s="5">
        <v>0.94099999999999995</v>
      </c>
      <c r="E8" s="5">
        <v>0.8</v>
      </c>
      <c r="F8" s="6">
        <v>2</v>
      </c>
      <c r="G8" s="6">
        <v>7</v>
      </c>
      <c r="H8" s="7">
        <v>79</v>
      </c>
      <c r="I8" s="8" t="s">
        <v>16</v>
      </c>
      <c r="J8" s="9" t="s">
        <v>33</v>
      </c>
      <c r="K8" s="9" t="s">
        <v>25</v>
      </c>
    </row>
    <row r="9" spans="1:11" ht="24" x14ac:dyDescent="0.35">
      <c r="A9" s="10" t="s">
        <v>34</v>
      </c>
      <c r="B9" s="11" t="s">
        <v>14</v>
      </c>
      <c r="C9" s="12" t="s">
        <v>15</v>
      </c>
      <c r="D9" s="13">
        <v>0.93500000000000005</v>
      </c>
      <c r="E9" s="13">
        <v>0.78</v>
      </c>
      <c r="F9" s="15">
        <v>3</v>
      </c>
      <c r="G9" s="15">
        <v>11</v>
      </c>
      <c r="H9" s="14">
        <v>73</v>
      </c>
      <c r="I9" s="8" t="s">
        <v>16</v>
      </c>
      <c r="J9" s="16" t="s">
        <v>35</v>
      </c>
      <c r="K9" s="16" t="s">
        <v>18</v>
      </c>
    </row>
    <row r="10" spans="1:11" x14ac:dyDescent="0.35">
      <c r="A10" s="2" t="s">
        <v>13</v>
      </c>
      <c r="B10" s="3" t="s">
        <v>14</v>
      </c>
      <c r="C10" s="26" t="s">
        <v>36</v>
      </c>
      <c r="D10" s="5">
        <v>0.97099999999999997</v>
      </c>
      <c r="E10" s="5">
        <v>0.91</v>
      </c>
      <c r="F10" s="6">
        <v>1</v>
      </c>
      <c r="G10" s="6">
        <v>10</v>
      </c>
      <c r="H10" s="7">
        <v>88</v>
      </c>
      <c r="I10" s="27" t="s">
        <v>37</v>
      </c>
      <c r="J10" s="9" t="s">
        <v>38</v>
      </c>
      <c r="K10" s="9" t="s">
        <v>39</v>
      </c>
    </row>
    <row r="11" spans="1:11" x14ac:dyDescent="0.35">
      <c r="A11" s="10" t="s">
        <v>19</v>
      </c>
      <c r="B11" s="11" t="s">
        <v>20</v>
      </c>
      <c r="C11" s="28" t="s">
        <v>36</v>
      </c>
      <c r="D11" s="13">
        <v>0.96799999999999997</v>
      </c>
      <c r="E11" s="13">
        <v>0.92</v>
      </c>
      <c r="F11" s="15">
        <v>1</v>
      </c>
      <c r="G11" s="15">
        <v>7</v>
      </c>
      <c r="H11" s="14">
        <v>87</v>
      </c>
      <c r="I11" s="27" t="s">
        <v>37</v>
      </c>
      <c r="J11" s="16" t="s">
        <v>40</v>
      </c>
      <c r="K11" s="16" t="s">
        <v>39</v>
      </c>
    </row>
    <row r="12" spans="1:11" ht="24" x14ac:dyDescent="0.35">
      <c r="A12" s="2" t="s">
        <v>22</v>
      </c>
      <c r="B12" s="3" t="s">
        <v>23</v>
      </c>
      <c r="C12" s="26" t="s">
        <v>36</v>
      </c>
      <c r="D12" s="5">
        <v>0.97499999999999998</v>
      </c>
      <c r="E12" s="5">
        <v>0.9</v>
      </c>
      <c r="F12" s="6">
        <v>0</v>
      </c>
      <c r="G12" s="6">
        <v>9</v>
      </c>
      <c r="H12" s="7">
        <v>91</v>
      </c>
      <c r="I12" s="29" t="s">
        <v>41</v>
      </c>
      <c r="J12" s="9" t="s">
        <v>42</v>
      </c>
      <c r="K12" s="9" t="s">
        <v>43</v>
      </c>
    </row>
    <row r="13" spans="1:11" x14ac:dyDescent="0.35">
      <c r="A13" s="17" t="s">
        <v>26</v>
      </c>
      <c r="B13" s="18" t="s">
        <v>27</v>
      </c>
      <c r="C13" s="30" t="s">
        <v>36</v>
      </c>
      <c r="D13" s="20">
        <v>0.95200000000000007</v>
      </c>
      <c r="E13" s="20">
        <v>0.89</v>
      </c>
      <c r="F13" s="22">
        <v>2</v>
      </c>
      <c r="G13" s="22">
        <v>12</v>
      </c>
      <c r="H13" s="21">
        <v>83</v>
      </c>
      <c r="I13" s="27" t="s">
        <v>37</v>
      </c>
      <c r="J13" s="24" t="s">
        <v>44</v>
      </c>
      <c r="K13" s="25" t="s">
        <v>45</v>
      </c>
    </row>
    <row r="14" spans="1:11" ht="24" x14ac:dyDescent="0.35">
      <c r="A14" s="2" t="s">
        <v>31</v>
      </c>
      <c r="B14" s="3" t="s">
        <v>32</v>
      </c>
      <c r="C14" s="26" t="s">
        <v>36</v>
      </c>
      <c r="D14" s="5">
        <v>0.97900000000000009</v>
      </c>
      <c r="E14" s="5">
        <v>0.93</v>
      </c>
      <c r="F14" s="6">
        <v>0</v>
      </c>
      <c r="G14" s="6">
        <v>6</v>
      </c>
      <c r="H14" s="7">
        <v>94</v>
      </c>
      <c r="I14" s="29" t="s">
        <v>41</v>
      </c>
      <c r="J14" s="9" t="s">
        <v>46</v>
      </c>
      <c r="K14" s="9" t="s">
        <v>47</v>
      </c>
    </row>
    <row r="15" spans="1:11" x14ac:dyDescent="0.35">
      <c r="A15" s="10" t="s">
        <v>34</v>
      </c>
      <c r="B15" s="11" t="s">
        <v>14</v>
      </c>
      <c r="C15" s="28" t="s">
        <v>36</v>
      </c>
      <c r="D15" s="13">
        <v>0.97299999999999998</v>
      </c>
      <c r="E15" s="13">
        <v>0.91</v>
      </c>
      <c r="F15" s="15">
        <v>1</v>
      </c>
      <c r="G15" s="15">
        <v>10</v>
      </c>
      <c r="H15" s="14">
        <v>89</v>
      </c>
      <c r="I15" s="27" t="s">
        <v>37</v>
      </c>
      <c r="J15" s="16" t="s">
        <v>48</v>
      </c>
      <c r="K15" s="16" t="s">
        <v>39</v>
      </c>
    </row>
    <row r="17" spans="1:11" x14ac:dyDescent="0.35">
      <c r="A17" s="36" t="s">
        <v>49</v>
      </c>
      <c r="B17" s="34"/>
      <c r="C17" s="34"/>
      <c r="D17" s="34"/>
      <c r="E17" s="34"/>
      <c r="F17" s="34"/>
      <c r="G17" s="34"/>
      <c r="H17" s="34"/>
      <c r="I17" s="34"/>
      <c r="J17" s="34"/>
      <c r="K17" s="34"/>
    </row>
    <row r="18" spans="1:11" ht="24" x14ac:dyDescent="0.35">
      <c r="A18" s="1" t="s">
        <v>50</v>
      </c>
      <c r="B18" s="1" t="s">
        <v>51</v>
      </c>
      <c r="C18" s="1" t="s">
        <v>52</v>
      </c>
      <c r="D18" s="1" t="s">
        <v>53</v>
      </c>
      <c r="E18" s="1" t="s">
        <v>54</v>
      </c>
      <c r="F18" s="1" t="s">
        <v>55</v>
      </c>
    </row>
    <row r="19" spans="1:11" x14ac:dyDescent="0.35">
      <c r="A19" s="10" t="s">
        <v>56</v>
      </c>
      <c r="B19" s="31">
        <f>AVERAGE(D4:D9)</f>
        <v>0.93016666666666659</v>
      </c>
      <c r="C19" s="31">
        <f>AVERAGE(D10:D15)</f>
        <v>0.96966666666666679</v>
      </c>
      <c r="D19" s="32">
        <f>C19-B19</f>
        <v>3.9500000000000202E-2</v>
      </c>
      <c r="E19" s="15" t="s">
        <v>57</v>
      </c>
      <c r="F19" s="15" t="str">
        <f>IF(C19-B19&gt;=0.1,"YES","CHECK")</f>
        <v>CHECK</v>
      </c>
    </row>
    <row r="20" spans="1:11" x14ac:dyDescent="0.35">
      <c r="A20" s="10" t="s">
        <v>58</v>
      </c>
      <c r="B20" s="31">
        <f>AVERAGE(E4:E9)</f>
        <v>0.77333333333333343</v>
      </c>
      <c r="C20" s="31">
        <f>AVERAGE(E10:E15)</f>
        <v>0.91</v>
      </c>
      <c r="D20" s="32">
        <f>C20-B20</f>
        <v>0.1366666666666666</v>
      </c>
      <c r="E20" s="15" t="s">
        <v>59</v>
      </c>
      <c r="F20" s="15" t="str">
        <f>IF(C20-B20&gt;=0.15,"YES","CHECK")</f>
        <v>CHECK</v>
      </c>
    </row>
    <row r="21" spans="1:11" x14ac:dyDescent="0.35">
      <c r="A21" s="10" t="s">
        <v>60</v>
      </c>
      <c r="B21" s="31">
        <f>AVERAGE(F4:F9)</f>
        <v>3.1666666666666665</v>
      </c>
      <c r="C21" s="31">
        <f>AVERAGE(F10:F15)</f>
        <v>0.83333333333333337</v>
      </c>
      <c r="D21" s="32">
        <f>C21-B21</f>
        <v>-2.333333333333333</v>
      </c>
      <c r="E21" s="15" t="s">
        <v>61</v>
      </c>
      <c r="F21" s="15" t="str">
        <f>IF(C21-B21&lt;0,"YES","CHECK")</f>
        <v>YES</v>
      </c>
    </row>
    <row r="22" spans="1:11" x14ac:dyDescent="0.35">
      <c r="A22" s="10" t="s">
        <v>62</v>
      </c>
      <c r="B22" s="31">
        <f>AVERAGE(H4:H9)</f>
        <v>73.166666666666671</v>
      </c>
      <c r="C22" s="31">
        <f>AVERAGE(H10:H15)</f>
        <v>88.666666666666671</v>
      </c>
      <c r="D22" s="32">
        <f>C22-B22</f>
        <v>15.5</v>
      </c>
      <c r="E22" s="15" t="s">
        <v>63</v>
      </c>
      <c r="F22" s="15" t="str">
        <f>IF(C22-B22&gt;0,"YES","CHECK")</f>
        <v>YES</v>
      </c>
    </row>
  </sheetData>
  <mergeCells count="3">
    <mergeCell ref="A2:K2"/>
    <mergeCell ref="A1:K1"/>
    <mergeCell ref="A17:K17"/>
  </mergeCells>
  <conditionalFormatting sqref="H4:H15">
    <cfRule type="cellIs" dxfId="2" priority="1" operator="greaterThanOrEqual">
      <formula>85</formula>
    </cfRule>
    <cfRule type="cellIs" dxfId="1" priority="2" operator="between">
      <formula>70</formula>
      <formula>84</formula>
    </cfRule>
    <cfRule type="cellIs" dxfId="0" priority="3" operator="lessThan">
      <formula>70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Scorecard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kunj patel</cp:lastModifiedBy>
  <dcterms:created xsi:type="dcterms:W3CDTF">2026-08-18T04:12:22Z</dcterms:created>
  <dcterms:modified xsi:type="dcterms:W3CDTF">2026-09-01T06:31:26Z</dcterms:modified>
</cp:coreProperties>
</file>